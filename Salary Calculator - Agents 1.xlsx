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ygnific-my.sharepoint.com/personal/13950_cygnific_com/Documents/Team Pam - Files/Mine/"/>
    </mc:Choice>
  </mc:AlternateContent>
  <xr:revisionPtr revIDLastSave="0" documentId="8_{DB32F63D-3D90-46CF-88FB-452DAEB1EABF}" xr6:coauthVersionLast="47" xr6:coauthVersionMax="47" xr10:uidLastSave="{00000000-0000-0000-0000-000000000000}"/>
  <bookViews>
    <workbookView xWindow="28680" yWindow="-120" windowWidth="38640" windowHeight="21240" xr2:uid="{4610C670-CD5A-4616-850B-3686CBEA5A96}"/>
  </bookViews>
  <sheets>
    <sheet name="SALARY CALCULATOR" sheetId="3" r:id="rId1"/>
    <sheet name="NIGHT DIFF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3" l="1"/>
  <c r="G67" i="3" s="1"/>
  <c r="D66" i="3"/>
  <c r="G66" i="3" s="1"/>
  <c r="D65" i="3"/>
  <c r="G65" i="3" s="1"/>
  <c r="D64" i="3"/>
  <c r="G64" i="3" s="1"/>
  <c r="D63" i="3"/>
  <c r="G63" i="3" s="1"/>
  <c r="D62" i="3"/>
  <c r="G62" i="3" s="1"/>
  <c r="D61" i="3"/>
  <c r="G61" i="3" s="1"/>
  <c r="D60" i="3"/>
  <c r="G60" i="3" s="1"/>
  <c r="D59" i="3"/>
  <c r="G59" i="3" s="1"/>
  <c r="D58" i="3"/>
  <c r="G58" i="3" s="1"/>
  <c r="D57" i="3"/>
  <c r="G57" i="3" s="1"/>
  <c r="D56" i="3"/>
  <c r="G56" i="3" s="1"/>
  <c r="D55" i="3"/>
  <c r="G55" i="3" s="1"/>
  <c r="D54" i="3"/>
  <c r="G54" i="3" s="1"/>
  <c r="D16" i="4"/>
  <c r="F16" i="4" s="1"/>
  <c r="D15" i="4"/>
  <c r="F15" i="4" s="1"/>
  <c r="D14" i="4"/>
  <c r="F14" i="4" s="1"/>
  <c r="D13" i="4"/>
  <c r="F13" i="4" s="1"/>
  <c r="D12" i="4"/>
  <c r="F12" i="4" s="1"/>
  <c r="D11" i="4"/>
  <c r="F11" i="4" s="1"/>
  <c r="D10" i="4"/>
  <c r="F10" i="4" s="1"/>
  <c r="D9" i="4"/>
  <c r="F9" i="4" s="1"/>
  <c r="D8" i="4"/>
  <c r="F8" i="4" s="1"/>
  <c r="D7" i="4"/>
  <c r="F7" i="4" s="1"/>
  <c r="D6" i="4"/>
  <c r="F6" i="4" s="1"/>
  <c r="D5" i="4"/>
  <c r="F5" i="4" s="1"/>
  <c r="D4" i="4"/>
  <c r="F4" i="4" s="1"/>
  <c r="D3" i="4"/>
  <c r="F3" i="4" s="1"/>
  <c r="D40" i="4"/>
  <c r="G40" i="4" s="1"/>
  <c r="D39" i="4"/>
  <c r="G39" i="4" s="1"/>
  <c r="D38" i="4"/>
  <c r="G38" i="4" s="1"/>
  <c r="D37" i="4"/>
  <c r="G37" i="4" s="1"/>
  <c r="D36" i="4"/>
  <c r="G36" i="4" s="1"/>
  <c r="D35" i="4"/>
  <c r="G35" i="4" s="1"/>
  <c r="D34" i="4"/>
  <c r="G34" i="4" s="1"/>
  <c r="D33" i="4"/>
  <c r="G33" i="4" s="1"/>
  <c r="D32" i="4"/>
  <c r="G32" i="4" s="1"/>
  <c r="D31" i="4"/>
  <c r="G31" i="4" s="1"/>
  <c r="D30" i="4"/>
  <c r="G30" i="4" s="1"/>
  <c r="D29" i="4"/>
  <c r="G29" i="4" s="1"/>
  <c r="D28" i="4"/>
  <c r="G28" i="4" s="1"/>
  <c r="D27" i="4"/>
  <c r="G27" i="4" s="1"/>
  <c r="J17" i="3"/>
  <c r="J13" i="3"/>
  <c r="B12" i="3"/>
  <c r="F8" i="3" s="1"/>
  <c r="B29" i="3"/>
  <c r="F23" i="3" s="1"/>
  <c r="D11" i="3"/>
  <c r="E17" i="3"/>
  <c r="F17" i="3" s="1"/>
  <c r="D23" i="3"/>
  <c r="F22" i="3" s="1"/>
  <c r="F7" i="3"/>
  <c r="E20" i="3"/>
  <c r="F20" i="3" s="1"/>
  <c r="E19" i="3"/>
  <c r="F19" i="3" s="1"/>
  <c r="E18" i="3"/>
  <c r="F18" i="3" s="1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/>
  <c r="D39" i="3"/>
  <c r="F39" i="3" s="1"/>
  <c r="D40" i="3"/>
  <c r="F40" i="3" s="1"/>
  <c r="D41" i="3"/>
  <c r="F41" i="3" s="1"/>
  <c r="D42" i="3"/>
  <c r="F42" i="3" s="1"/>
  <c r="D43" i="3"/>
  <c r="F43" i="3" s="1"/>
  <c r="D44" i="3"/>
  <c r="F44" i="3" s="1"/>
  <c r="D45" i="3"/>
  <c r="F45" i="3" s="1"/>
  <c r="D46" i="3"/>
  <c r="F46" i="3" s="1"/>
  <c r="J9" i="3"/>
  <c r="E3" i="3"/>
  <c r="F3" i="3"/>
  <c r="E4" i="3"/>
  <c r="F4" i="3" s="1"/>
  <c r="E5" i="3"/>
  <c r="F5" i="3" s="1"/>
  <c r="J4" i="3"/>
  <c r="F21" i="3" l="1"/>
  <c r="F24" i="3" s="1"/>
  <c r="F26" i="3" s="1"/>
  <c r="F6" i="3"/>
  <c r="F9" i="3" s="1"/>
  <c r="F11" i="3" s="1"/>
</calcChain>
</file>

<file path=xl/sharedStrings.xml><?xml version="1.0" encoding="utf-8"?>
<sst xmlns="http://schemas.openxmlformats.org/spreadsheetml/2006/main" count="101" uniqueCount="51">
  <si>
    <t>10TH PAYOUT | (16-31 CUTOFF)</t>
  </si>
  <si>
    <t>SCHEDULES</t>
  </si>
  <si>
    <t>CUT OFF PAY</t>
  </si>
  <si>
    <t>NIGHT DIFF &amp; ALLOW</t>
  </si>
  <si>
    <t>NO. OF DAYS</t>
  </si>
  <si>
    <t xml:space="preserve"> TOTAL PER SCHED</t>
  </si>
  <si>
    <t>TOTAL</t>
  </si>
  <si>
    <t>Regular Overtime</t>
  </si>
  <si>
    <t>*you can check your per day rate in your payslip and divide into 8hrs to get the hourly rate</t>
  </si>
  <si>
    <t>Hourly Rate</t>
  </si>
  <si>
    <t xml:space="preserve">BASIC OT </t>
  </si>
  <si>
    <t>DEDUCTIONS 10TH</t>
  </si>
  <si>
    <t>AMOUNT</t>
  </si>
  <si>
    <t>ADDITIONS</t>
  </si>
  <si>
    <t xml:space="preserve">TOTAL </t>
  </si>
  <si>
    <t>PAGIBIG LOAN</t>
  </si>
  <si>
    <t>DE MINIMIS</t>
  </si>
  <si>
    <t>Rest Day Pay</t>
  </si>
  <si>
    <t>*you can check your per day rate in your payslip</t>
  </si>
  <si>
    <t>TAXES 10TH</t>
  </si>
  <si>
    <t>FITNESS INCENTIVE</t>
  </si>
  <si>
    <t>DEDUCTIONS</t>
  </si>
  <si>
    <t>Daily Rate</t>
  </si>
  <si>
    <t>RD PAY</t>
  </si>
  <si>
    <t>TARDINESS</t>
  </si>
  <si>
    <t>ADJUSTMENTS</t>
  </si>
  <si>
    <t>TOTAL PAY 10TH</t>
  </si>
  <si>
    <t>ABSENCES</t>
  </si>
  <si>
    <t>OT | RDOT | HOL</t>
  </si>
  <si>
    <t>SALARY RECEIVED</t>
  </si>
  <si>
    <t>WORK FROM HOME</t>
  </si>
  <si>
    <t>DISPUTE</t>
  </si>
  <si>
    <t>Special Holiday Pay</t>
  </si>
  <si>
    <t>SH PAY</t>
  </si>
  <si>
    <t>25TH PAYOUT (1-15 CUTOFF)</t>
  </si>
  <si>
    <t>Regular Holiday Pay</t>
  </si>
  <si>
    <t>RH PAY</t>
  </si>
  <si>
    <t>DEDUCTIONS 25TH</t>
  </si>
  <si>
    <t>SSS</t>
  </si>
  <si>
    <t>PHL HEALTH</t>
  </si>
  <si>
    <t>PAGIBIG (HDMF)</t>
  </si>
  <si>
    <t>TOTAL PAY 25TH</t>
  </si>
  <si>
    <t>TAXES 25TH</t>
  </si>
  <si>
    <t>EMPLOYEES WITHOUT PREMIUM ALLOWANCE</t>
  </si>
  <si>
    <t>TIME (MNL LT)</t>
  </si>
  <si>
    <t>NDIFF PER HOUR</t>
  </si>
  <si>
    <t>HOURS</t>
  </si>
  <si>
    <t>NDIFF VALUE</t>
  </si>
  <si>
    <t>REG ALLOW</t>
  </si>
  <si>
    <t>EMPLOYEES WITH PREMIUM ALLOWANCE</t>
  </si>
  <si>
    <t>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</si>
</sst>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₱&quot;#,##0.00"/>
    <numFmt numFmtId="166" formatCode="[$₱-3409]#,##0.00"/>
  </numFmts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6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left"/>
    </xf>
    <xf numFmtId="2" fontId="1" fillId="0" borderId="6" xfId="0" applyNumberFormat="1" applyFont="1" applyBorder="1" applyAlignment="1">
      <alignment horizontal="left"/>
    </xf>
    <xf numFmtId="2" fontId="1" fillId="5" borderId="6" xfId="0" applyNumberFormat="1" applyFont="1" applyFill="1" applyBorder="1" applyAlignment="1">
      <alignment horizontal="left"/>
    </xf>
    <xf numFmtId="2" fontId="0" fillId="6" borderId="1" xfId="0" applyNumberFormat="1" applyFill="1" applyBorder="1" applyAlignment="1">
      <alignment horizontal="left"/>
    </xf>
    <xf numFmtId="2" fontId="0" fillId="5" borderId="1" xfId="0" applyNumberFormat="1" applyFill="1" applyBorder="1" applyAlignment="1">
      <alignment horizontal="left"/>
    </xf>
    <xf numFmtId="2" fontId="0" fillId="0" borderId="6" xfId="0" applyNumberFormat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3" fillId="7" borderId="5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left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3" fillId="7" borderId="1" xfId="0" applyFont="1" applyFill="1" applyBorder="1"/>
    <xf numFmtId="0" fontId="0" fillId="2" borderId="11" xfId="0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7" fillId="4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2" fontId="3" fillId="0" borderId="1" xfId="0" applyNumberFormat="1" applyFont="1" applyBorder="1" applyAlignment="1">
      <alignment horizontal="left"/>
    </xf>
    <xf numFmtId="166" fontId="3" fillId="12" borderId="11" xfId="0" applyNumberFormat="1" applyFont="1" applyFill="1" applyBorder="1" applyAlignment="1">
      <alignment horizontal="left"/>
    </xf>
    <xf numFmtId="166" fontId="3" fillId="13" borderId="11" xfId="0" applyNumberFormat="1" applyFont="1" applyFill="1" applyBorder="1" applyAlignment="1">
      <alignment horizontal="left"/>
    </xf>
    <xf numFmtId="0" fontId="3" fillId="7" borderId="11" xfId="0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9" fontId="0" fillId="2" borderId="15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10" borderId="11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 wrapText="1"/>
    </xf>
    <xf numFmtId="0" fontId="3" fillId="11" borderId="12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3" fillId="11" borderId="16" xfId="0" applyFont="1" applyFill="1" applyBorder="1" applyAlignment="1">
      <alignment horizontal="center" wrapText="1"/>
    </xf>
    <xf numFmtId="0" fontId="3" fillId="11" borderId="14" xfId="0" applyFont="1" applyFill="1" applyBorder="1" applyAlignment="1">
      <alignment horizontal="center" wrapText="1"/>
    </xf>
    <xf numFmtId="0" fontId="3" fillId="11" borderId="15" xfId="0" applyFont="1" applyFill="1" applyBorder="1" applyAlignment="1">
      <alignment horizontal="center" wrapText="1"/>
    </xf>
  </cellXfs>
  <cellStyles count="1">
    <cellStyle name="Normal" xfId="0" builtinId="0"/>
  </cellStyles>
  <dxfs count="46"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5" formatCode="h:mm"/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5" formatCode="h:mm"/>
      <fill>
        <patternFill patternType="none"/>
      </fill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5" formatCode="h:mm"/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5" formatCode="h:mm"/>
      <fill>
        <patternFill patternType="none"/>
      </fill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/>
      </fill>
      <alignment horizontal="center" vertical="center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  <color rgb="FFFFFF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9</xdr:col>
      <xdr:colOff>304800</xdr:colOff>
      <xdr:row>12</xdr:row>
      <xdr:rowOff>97155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113B071-E96F-4715-8AE3-7DFED6E5187F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05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304800</xdr:colOff>
      <xdr:row>14</xdr:row>
      <xdr:rowOff>133350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C3D4024-3B94-4B85-ADAF-6AFF8F022D2E}"/>
            </a:ext>
            <a:ext uri="{147F2762-F138-4A5C-976F-8EAC2B608ADB}">
              <a16:predDERef xmlns:a16="http://schemas.microsoft.com/office/drawing/2014/main" pred="{174D566D-CFC0-40C1-A351-67A700EB3C27}"/>
            </a:ext>
          </a:extLst>
        </xdr:cNvPr>
        <xdr:cNvSpPr>
          <a:spLocks noChangeAspect="1" noChangeArrowheads="1"/>
        </xdr:cNvSpPr>
      </xdr:nvSpPr>
      <xdr:spPr bwMode="auto">
        <a:xfrm>
          <a:off x="10620375" y="2286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304800</xdr:colOff>
      <xdr:row>4</xdr:row>
      <xdr:rowOff>97155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48256FB-E1A3-4C9B-BD45-942B98F93FE8}"/>
            </a:ext>
            <a:ext uri="{147F2762-F138-4A5C-976F-8EAC2B608ADB}">
              <a16:predDERef xmlns:a16="http://schemas.microsoft.com/office/drawing/2014/main" pred="{9C3D4024-3B94-4B85-ADAF-6AFF8F022D2E}"/>
            </a:ext>
          </a:extLst>
        </xdr:cNvPr>
        <xdr:cNvSpPr>
          <a:spLocks noChangeAspect="1" noChangeArrowheads="1"/>
        </xdr:cNvSpPr>
      </xdr:nvSpPr>
      <xdr:spPr bwMode="auto">
        <a:xfrm>
          <a:off x="8448675" y="207645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133350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9FE15ED6-FFBE-487C-A6C8-C40C63D3AD48}"/>
            </a:ext>
            <a:ext uri="{147F2762-F138-4A5C-976F-8EAC2B608ADB}">
              <a16:predDERef xmlns:a16="http://schemas.microsoft.com/office/drawing/2014/main" pred="{948256FB-E1A3-4C9B-BD45-942B98F93FE8}"/>
            </a:ext>
          </a:extLst>
        </xdr:cNvPr>
        <xdr:cNvSpPr>
          <a:spLocks noChangeAspect="1" noChangeArrowheads="1"/>
        </xdr:cNvSpPr>
      </xdr:nvSpPr>
      <xdr:spPr bwMode="auto">
        <a:xfrm>
          <a:off x="7172325" y="24574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97155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55AE9EFF-F3C5-41F2-9420-4817F881B780}"/>
            </a:ext>
            <a:ext uri="{147F2762-F138-4A5C-976F-8EAC2B608ADB}">
              <a16:predDERef xmlns:a16="http://schemas.microsoft.com/office/drawing/2014/main" pred="{9FE15ED6-FFBE-487C-A6C8-C40C63D3AD48}"/>
            </a:ext>
          </a:extLst>
        </xdr:cNvPr>
        <xdr:cNvSpPr>
          <a:spLocks noChangeAspect="1" noChangeArrowheads="1"/>
        </xdr:cNvSpPr>
      </xdr:nvSpPr>
      <xdr:spPr bwMode="auto">
        <a:xfrm>
          <a:off x="12363450" y="55245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304800</xdr:colOff>
      <xdr:row>12</xdr:row>
      <xdr:rowOff>133350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8FBA82B-A715-42CF-968D-A58937EBFF9D}"/>
            </a:ext>
            <a:ext uri="{147F2762-F138-4A5C-976F-8EAC2B608ADB}">
              <a16:predDERef xmlns:a16="http://schemas.microsoft.com/office/drawing/2014/main" pred="{55AE9EFF-F3C5-41F2-9420-4817F881B780}"/>
            </a:ext>
          </a:extLst>
        </xdr:cNvPr>
        <xdr:cNvSpPr>
          <a:spLocks noChangeAspect="1" noChangeArrowheads="1"/>
        </xdr:cNvSpPr>
      </xdr:nvSpPr>
      <xdr:spPr bwMode="auto">
        <a:xfrm>
          <a:off x="11144250" y="9334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179070</xdr:colOff>
      <xdr:row>29</xdr:row>
      <xdr:rowOff>158115</xdr:rowOff>
    </xdr:from>
    <xdr:to>
      <xdr:col>10</xdr:col>
      <xdr:colOff>516255</xdr:colOff>
      <xdr:row>49</xdr:row>
      <xdr:rowOff>93345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26BE49-AB68-9EB6-71C9-D09B56E2193E}"/>
            </a:ext>
            <a:ext uri="{147F2762-F138-4A5C-976F-8EAC2B608ADB}">
              <a16:predDERef xmlns:a16="http://schemas.microsoft.com/office/drawing/2014/main" pred="{98FBA82B-A715-42CF-968D-A58937EBF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5492115"/>
          <a:ext cx="3308985" cy="3571875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50</xdr:row>
      <xdr:rowOff>152400</xdr:rowOff>
    </xdr:from>
    <xdr:to>
      <xdr:col>14</xdr:col>
      <xdr:colOff>53340</xdr:colOff>
      <xdr:row>71</xdr:row>
      <xdr:rowOff>17145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05F108-6A40-4BD8-86DA-19763CBEB804}"/>
            </a:ext>
            <a:ext uri="{147F2762-F138-4A5C-976F-8EAC2B608ADB}">
              <a16:predDERef xmlns:a16="http://schemas.microsoft.com/office/drawing/2014/main" pred="{B826BE49-AB68-9EB6-71C9-D09B56E21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8915400"/>
          <a:ext cx="4606290" cy="3872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106680</xdr:colOff>
      <xdr:row>0</xdr:row>
      <xdr:rowOff>0</xdr:rowOff>
    </xdr:from>
    <xdr:to>
      <xdr:col>10</xdr:col>
      <xdr:colOff>502920</xdr:colOff>
      <xdr:row>19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D808C-D2BB-41B0-862D-E8860BA26BBA}"/>
            </a:ext>
            <a:ext uri="{147F2762-F138-4A5C-976F-8EAC2B608ADB}">
              <a16:predDERef xmlns:a16="http://schemas.microsoft.com/office/drawing/2014/main" pred="{98FBA82B-A715-42CF-968D-A58937EBF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2930" y="0"/>
          <a:ext cx="3234690" cy="356806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23</xdr:row>
      <xdr:rowOff>123825</xdr:rowOff>
    </xdr:from>
    <xdr:to>
      <xdr:col>14</xdr:col>
      <xdr:colOff>462915</xdr:colOff>
      <xdr:row>43</xdr:row>
      <xdr:rowOff>186690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9BBC06-CB98-43EC-AC17-F245CFC77441}"/>
            </a:ext>
            <a:ext uri="{147F2762-F138-4A5C-976F-8EAC2B608ADB}">
              <a16:predDERef xmlns:a16="http://schemas.microsoft.com/office/drawing/2014/main" pred="{415D808C-D2BB-41B0-862D-E8860BA26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3025" y="4505325"/>
          <a:ext cx="4606290" cy="38728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118012-6565-4193-A821-0A8CB49E6E9D}" name="Table2235" displayName="Table2235" ref="A32:F46" totalsRowShown="0" headerRowDxfId="45" dataDxfId="43" headerRowBorderDxfId="44" tableBorderDxfId="42" totalsRowBorderDxfId="41">
  <autoFilter ref="A32:F46" xr:uid="{2A118012-6565-4193-A821-0A8CB49E6E9D}"/>
  <tableColumns count="6">
    <tableColumn id="1" xr3:uid="{CB6E63EE-0C0E-4164-AFD4-B534094C32D8}" name="TIME (MNL LT)" dataDxfId="40"/>
    <tableColumn id="2" xr3:uid="{C78D653A-FC5B-4473-8A0F-E4741B3BDB83}" name="NDIFF PER HOUR" dataDxfId="39"/>
    <tableColumn id="3" xr3:uid="{C028EF83-6DC8-48A0-A854-92D8B8D55238}" name="HOURS" dataDxfId="38"/>
    <tableColumn id="4" xr3:uid="{B1B0602B-2C2F-4A68-9F8C-5E96C385DA52}" name="NDIFF VALUE" dataDxfId="37">
      <calculatedColumnFormula>B33*C33</calculatedColumnFormula>
    </tableColumn>
    <tableColumn id="5" xr3:uid="{2AF170BE-74E4-4653-A21D-6C167902210B}" name="REG ALLOW" dataDxfId="36"/>
    <tableColumn id="7" xr3:uid="{8F85FEA6-1F92-4633-AB15-6FEDDB48DE13}" name="TOTAL" dataDxfId="35">
      <calculatedColumnFormula>SUM(D33:E33)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C7B339-3E85-4B2F-BA27-D7F872A89146}" name="Table223546" displayName="Table223546" ref="A53:G67" totalsRowShown="0" headerRowDxfId="34" dataDxfId="32" headerRowBorderDxfId="33" tableBorderDxfId="31" totalsRowBorderDxfId="30">
  <autoFilter ref="A53:G67" xr:uid="{97C7B339-3E85-4B2F-BA27-D7F872A89146}"/>
  <tableColumns count="7">
    <tableColumn id="1" xr3:uid="{F3732183-B4CD-4C04-99EA-0D5F2AD37201}" name="TIME (MNL LT)" dataDxfId="29"/>
    <tableColumn id="2" xr3:uid="{0D61FABA-2A41-4F37-B7A2-DF63E5527704}" name="NDIFF PER HOUR" dataDxfId="28"/>
    <tableColumn id="3" xr3:uid="{62F48742-E84B-485E-B9FD-2FA8E986BAAC}" name="HOURS" dataDxfId="27"/>
    <tableColumn id="4" xr3:uid="{619E6A7C-68FA-427C-8361-D6168B938291}" name="NDIFF VALUE" dataDxfId="26">
      <calculatedColumnFormula>B54*C54</calculatedColumnFormula>
    </tableColumn>
    <tableColumn id="5" xr3:uid="{5C5BD8F8-856B-40E6-A9F0-FE8447300B78}" name="REG ALLOW" dataDxfId="25"/>
    <tableColumn id="6" xr3:uid="{68046346-1D07-4FF6-A849-662B38FB772E}" name="PREM" dataDxfId="24"/>
    <tableColumn id="7" xr3:uid="{5491B9C5-2032-449D-824E-3EE6B5EFF130}" name="TOTAL" dataDxfId="23">
      <calculatedColumnFormula>SUM(D54:F54)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976E0-A612-41E8-AD16-83A9D7C68F58}" name="Table22353" displayName="Table22353" ref="A2:F16" totalsRowShown="0" headerRowDxfId="22" dataDxfId="20" headerRowBorderDxfId="21" tableBorderDxfId="19" totalsRowBorderDxfId="18">
  <autoFilter ref="A2:F16" xr:uid="{00C976E0-A612-41E8-AD16-83A9D7C68F58}"/>
  <tableColumns count="6">
    <tableColumn id="1" xr3:uid="{A61C46C3-B763-49AF-B55E-DDB06C3BFEDC}" name="TIME (MNL LT)" dataDxfId="17"/>
    <tableColumn id="2" xr3:uid="{594778C9-08FD-4315-88AE-D3E335E6B891}" name="NDIFF PER HOUR" dataDxfId="16"/>
    <tableColumn id="3" xr3:uid="{8AD4ED8A-2D9D-48E8-97CA-189F9851E290}" name="HOURS" dataDxfId="15"/>
    <tableColumn id="4" xr3:uid="{1B2219DE-D352-4BE6-A4B9-46A4570D7BBF}" name="NDIFF VALUE" dataDxfId="14">
      <calculatedColumnFormula>B3*C3</calculatedColumnFormula>
    </tableColumn>
    <tableColumn id="5" xr3:uid="{6FE560AB-44E8-469C-979B-E85D48323751}" name="REG ALLOW" dataDxfId="13"/>
    <tableColumn id="7" xr3:uid="{19CD4E8C-A533-4CB5-8A34-FCA923B3D373}" name="TOTAL" dataDxfId="12">
      <calculatedColumnFormula>SUM(D3:E3)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20F84D-C8BC-483A-A7AF-0A57DEFD963F}" name="Table22354" displayName="Table22354" ref="A26:G40" totalsRowShown="0" headerRowDxfId="11" dataDxfId="9" headerRowBorderDxfId="10" tableBorderDxfId="8" totalsRowBorderDxfId="7">
  <autoFilter ref="A26:G40" xr:uid="{7920F84D-C8BC-483A-A7AF-0A57DEFD963F}"/>
  <tableColumns count="7">
    <tableColumn id="1" xr3:uid="{3CF33162-2DBD-4166-B13B-1F7E2812A273}" name="TIME (MNL LT)" dataDxfId="6"/>
    <tableColumn id="2" xr3:uid="{8A5BF1E5-EFD5-4E25-B7DA-FB0E0D892CEA}" name="NDIFF PER HOUR" dataDxfId="5"/>
    <tableColumn id="3" xr3:uid="{47AF722F-8098-47CF-8BC7-E29E7C84DB2F}" name="HOURS" dataDxfId="4"/>
    <tableColumn id="4" xr3:uid="{AE19AEBD-4BFE-4C42-81D1-AACC4CC2C443}" name="NDIFF VALUE" dataDxfId="3">
      <calculatedColumnFormula>B27*C27</calculatedColumnFormula>
    </tableColumn>
    <tableColumn id="5" xr3:uid="{8E6F0069-1E89-408F-8301-966D944F3218}" name="REG ALLOW" dataDxfId="2"/>
    <tableColumn id="6" xr3:uid="{8826E8B8-BB21-4453-8970-2AE575CD3F31}" name="PREM" dataDxfId="1"/>
    <tableColumn id="7" xr3:uid="{0A69F296-82CF-4FEB-A92F-2000CC31855F}" name="TOTAL" dataDxfId="0">
      <calculatedColumnFormula>SUM(D27:F27)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7F7B-AA48-4180-8AF9-7E366A57031C}">
  <dimension ref="A1:M67"/>
  <sheetViews>
    <sheetView tabSelected="1" zoomScaleNormal="100" workbookViewId="0">
      <selection activeCell="J28" sqref="J28"/>
    </sheetView>
  </sheetViews>
  <sheetFormatPr defaultRowHeight="14.4" x14ac:dyDescent="0.3"/>
  <cols>
    <col min="1" max="1" width="18.33203125" customWidth="1"/>
    <col min="2" max="2" width="22.109375" customWidth="1"/>
    <col min="3" max="3" width="20" customWidth="1"/>
    <col min="4" max="4" width="17.6640625" customWidth="1"/>
    <col min="5" max="5" width="17.33203125" customWidth="1"/>
    <col min="6" max="6" width="11" customWidth="1"/>
    <col min="7" max="7" width="11.33203125" customWidth="1"/>
    <col min="8" max="8" width="11.44140625" customWidth="1"/>
    <col min="9" max="9" width="9.109375" bestFit="1" customWidth="1"/>
    <col min="10" max="10" width="11.33203125" bestFit="1" customWidth="1"/>
    <col min="11" max="11" width="10.88671875" customWidth="1"/>
  </cols>
  <sheetData>
    <row r="1" spans="1:12" x14ac:dyDescent="0.3">
      <c r="A1" s="66" t="s">
        <v>0</v>
      </c>
      <c r="B1" s="66"/>
      <c r="C1" s="66"/>
      <c r="D1" s="66"/>
      <c r="E1" s="66"/>
      <c r="F1" s="66"/>
      <c r="H1" s="24"/>
      <c r="I1" s="24"/>
      <c r="J1" s="24"/>
      <c r="K1" s="24"/>
      <c r="L1" s="24"/>
    </row>
    <row r="2" spans="1:12" ht="14.4" customHeight="1" x14ac:dyDescent="0.3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5"/>
      <c r="H2" s="68" t="s">
        <v>7</v>
      </c>
      <c r="I2" s="69"/>
      <c r="J2" s="70"/>
      <c r="K2" s="67" t="s">
        <v>8</v>
      </c>
      <c r="L2" s="67"/>
    </row>
    <row r="3" spans="1:12" ht="14.4" customHeight="1" x14ac:dyDescent="0.3">
      <c r="A3" s="6">
        <v>1</v>
      </c>
      <c r="B3" s="45">
        <v>9750</v>
      </c>
      <c r="C3" s="7">
        <v>350</v>
      </c>
      <c r="D3" s="6">
        <v>7</v>
      </c>
      <c r="E3" s="7">
        <f>(C3*D3)</f>
        <v>2450</v>
      </c>
      <c r="F3" s="7">
        <f>B3+E3</f>
        <v>12200</v>
      </c>
      <c r="G3" s="5"/>
      <c r="H3" s="38" t="s">
        <v>9</v>
      </c>
      <c r="I3" s="55">
        <v>1.25</v>
      </c>
      <c r="J3" s="39" t="s">
        <v>10</v>
      </c>
      <c r="K3" s="67"/>
      <c r="L3" s="67"/>
    </row>
    <row r="4" spans="1:12" x14ac:dyDescent="0.3">
      <c r="A4" s="6">
        <v>2</v>
      </c>
      <c r="B4" s="6"/>
      <c r="C4" s="7">
        <v>725</v>
      </c>
      <c r="D4" s="6">
        <v>3</v>
      </c>
      <c r="E4" s="7">
        <f>(C4*D4)</f>
        <v>2175</v>
      </c>
      <c r="F4" s="7">
        <f>B4+E4</f>
        <v>2175</v>
      </c>
      <c r="G4" s="5"/>
      <c r="H4" s="56">
        <v>121.875</v>
      </c>
      <c r="I4" s="40">
        <v>1.25</v>
      </c>
      <c r="J4" s="41">
        <f>(H4*I4)</f>
        <v>152.34375</v>
      </c>
      <c r="K4" s="67"/>
      <c r="L4" s="67"/>
    </row>
    <row r="5" spans="1:12" ht="15" customHeight="1" x14ac:dyDescent="0.3">
      <c r="A5" s="6">
        <v>3</v>
      </c>
      <c r="B5" s="6"/>
      <c r="C5" s="7"/>
      <c r="D5" s="6">
        <v>0</v>
      </c>
      <c r="E5" s="7">
        <f>(C5*D5)</f>
        <v>0</v>
      </c>
      <c r="F5" s="7">
        <f>B5+E5</f>
        <v>0</v>
      </c>
      <c r="G5" s="5"/>
      <c r="H5" s="24"/>
      <c r="I5" s="24"/>
      <c r="J5" s="24"/>
      <c r="K5" s="67"/>
      <c r="L5" s="67"/>
    </row>
    <row r="6" spans="1:12" x14ac:dyDescent="0.3">
      <c r="A6" s="16" t="s">
        <v>11</v>
      </c>
      <c r="B6" s="17" t="s">
        <v>12</v>
      </c>
      <c r="C6" s="16" t="s">
        <v>13</v>
      </c>
      <c r="D6" s="17" t="s">
        <v>12</v>
      </c>
      <c r="E6" s="18" t="s">
        <v>14</v>
      </c>
      <c r="F6" s="28">
        <f>SUM(F3:F5)</f>
        <v>14375</v>
      </c>
      <c r="G6" s="5"/>
      <c r="H6" s="24"/>
      <c r="I6" s="24"/>
      <c r="J6" s="24"/>
      <c r="K6" s="24"/>
      <c r="L6" s="24"/>
    </row>
    <row r="7" spans="1:12" ht="15" customHeight="1" x14ac:dyDescent="0.3">
      <c r="A7" s="6" t="s">
        <v>15</v>
      </c>
      <c r="B7" s="10">
        <v>0</v>
      </c>
      <c r="C7" s="6" t="s">
        <v>16</v>
      </c>
      <c r="D7" s="14">
        <v>0</v>
      </c>
      <c r="E7" s="37" t="s">
        <v>13</v>
      </c>
      <c r="F7" s="15">
        <f>D13</f>
        <v>0</v>
      </c>
      <c r="G7" s="1"/>
      <c r="H7" s="61" t="s">
        <v>17</v>
      </c>
      <c r="I7" s="62"/>
      <c r="J7" s="63"/>
      <c r="K7" s="64" t="s">
        <v>18</v>
      </c>
      <c r="L7" s="65"/>
    </row>
    <row r="8" spans="1:12" x14ac:dyDescent="0.3">
      <c r="A8" s="6" t="s">
        <v>19</v>
      </c>
      <c r="B8" s="10">
        <v>550.09</v>
      </c>
      <c r="C8" s="6" t="s">
        <v>20</v>
      </c>
      <c r="D8" s="7">
        <v>0</v>
      </c>
      <c r="E8" s="37" t="s">
        <v>21</v>
      </c>
      <c r="F8" s="15">
        <f>B12</f>
        <v>550.09</v>
      </c>
      <c r="G8" s="1"/>
      <c r="H8" s="31" t="s">
        <v>22</v>
      </c>
      <c r="I8" s="32">
        <v>1.3</v>
      </c>
      <c r="J8" s="33" t="s">
        <v>23</v>
      </c>
      <c r="K8" s="64"/>
      <c r="L8" s="65"/>
    </row>
    <row r="9" spans="1:12" ht="15" customHeight="1" x14ac:dyDescent="0.3">
      <c r="A9" s="6" t="s">
        <v>24</v>
      </c>
      <c r="B9" s="9">
        <v>0</v>
      </c>
      <c r="C9" s="6" t="s">
        <v>25</v>
      </c>
      <c r="D9" s="7">
        <v>0</v>
      </c>
      <c r="E9" s="21" t="s">
        <v>26</v>
      </c>
      <c r="F9" s="43">
        <f>(F6+F7)-(F8)</f>
        <v>13824.91</v>
      </c>
      <c r="G9" s="2"/>
      <c r="H9" s="8">
        <v>975</v>
      </c>
      <c r="I9" s="34">
        <v>1.3</v>
      </c>
      <c r="J9" s="35">
        <f>(H9*I9)</f>
        <v>1267.5</v>
      </c>
      <c r="K9" s="64"/>
      <c r="L9" s="65"/>
    </row>
    <row r="10" spans="1:12" x14ac:dyDescent="0.3">
      <c r="A10" s="6" t="s">
        <v>27</v>
      </c>
      <c r="B10" s="9">
        <v>0</v>
      </c>
      <c r="C10" s="6" t="s">
        <v>28</v>
      </c>
      <c r="D10" s="7">
        <v>0</v>
      </c>
      <c r="E10" s="48" t="s">
        <v>29</v>
      </c>
      <c r="F10" s="46">
        <v>18311.12</v>
      </c>
      <c r="G10" s="2"/>
      <c r="H10" s="24"/>
      <c r="I10" s="29"/>
      <c r="J10" s="42"/>
      <c r="K10" s="4"/>
      <c r="L10" s="4"/>
    </row>
    <row r="11" spans="1:12" x14ac:dyDescent="0.3">
      <c r="A11" s="6" t="s">
        <v>30</v>
      </c>
      <c r="B11" s="9">
        <v>0</v>
      </c>
      <c r="C11" s="18" t="s">
        <v>6</v>
      </c>
      <c r="D11" s="12">
        <f>SUM(D5:D10)</f>
        <v>0</v>
      </c>
      <c r="E11" s="48" t="s">
        <v>31</v>
      </c>
      <c r="F11" s="47">
        <f>F9-F10</f>
        <v>-4486.2099999999991</v>
      </c>
      <c r="G11" s="2"/>
      <c r="H11" s="61" t="s">
        <v>32</v>
      </c>
      <c r="I11" s="62"/>
      <c r="J11" s="63"/>
      <c r="K11" s="64" t="s">
        <v>18</v>
      </c>
      <c r="L11" s="65"/>
    </row>
    <row r="12" spans="1:12" x14ac:dyDescent="0.3">
      <c r="A12" s="18" t="s">
        <v>6</v>
      </c>
      <c r="B12" s="11">
        <f>SUM(B7:B11)</f>
        <v>550.09</v>
      </c>
      <c r="C12" s="5"/>
      <c r="D12" s="5"/>
      <c r="E12" s="5"/>
      <c r="F12" s="5"/>
      <c r="G12" s="2"/>
      <c r="H12" s="31" t="s">
        <v>22</v>
      </c>
      <c r="I12" s="32">
        <v>0.3</v>
      </c>
      <c r="J12" s="33" t="s">
        <v>33</v>
      </c>
      <c r="K12" s="64"/>
      <c r="L12" s="65"/>
    </row>
    <row r="13" spans="1:12" ht="15" customHeight="1" x14ac:dyDescent="0.3">
      <c r="A13" s="5"/>
      <c r="B13" s="5"/>
      <c r="C13" s="5"/>
      <c r="D13" s="5"/>
      <c r="E13" s="5"/>
      <c r="F13" s="5"/>
      <c r="G13" s="5"/>
      <c r="H13" s="8">
        <v>975</v>
      </c>
      <c r="I13" s="34">
        <v>0.3</v>
      </c>
      <c r="J13" s="35">
        <f>(H13*I13)</f>
        <v>292.5</v>
      </c>
      <c r="K13" s="64"/>
      <c r="L13" s="65"/>
    </row>
    <row r="14" spans="1:12" x14ac:dyDescent="0.3">
      <c r="C14" s="5"/>
      <c r="D14" s="5"/>
      <c r="E14" s="5"/>
      <c r="F14" s="5"/>
      <c r="G14" s="5"/>
      <c r="H14" s="24"/>
      <c r="I14" s="29"/>
      <c r="J14" s="30"/>
      <c r="K14" s="4"/>
      <c r="L14" s="4"/>
    </row>
    <row r="15" spans="1:12" x14ac:dyDescent="0.3">
      <c r="A15" s="66" t="s">
        <v>34</v>
      </c>
      <c r="B15" s="66"/>
      <c r="C15" s="66"/>
      <c r="D15" s="66"/>
      <c r="E15" s="66"/>
      <c r="F15" s="66"/>
      <c r="G15" s="5"/>
      <c r="H15" s="61" t="s">
        <v>35</v>
      </c>
      <c r="I15" s="62"/>
      <c r="J15" s="63"/>
      <c r="K15" s="64" t="s">
        <v>18</v>
      </c>
      <c r="L15" s="65"/>
    </row>
    <row r="16" spans="1:12" x14ac:dyDescent="0.3">
      <c r="A16" s="16" t="s">
        <v>1</v>
      </c>
      <c r="B16" s="16" t="s">
        <v>2</v>
      </c>
      <c r="C16" s="16" t="s">
        <v>3</v>
      </c>
      <c r="D16" s="16" t="s">
        <v>4</v>
      </c>
      <c r="E16" s="16" t="s">
        <v>5</v>
      </c>
      <c r="F16" s="16" t="s">
        <v>6</v>
      </c>
      <c r="G16" s="5"/>
      <c r="H16" s="31" t="s">
        <v>22</v>
      </c>
      <c r="I16" s="32">
        <v>1</v>
      </c>
      <c r="J16" s="33" t="s">
        <v>36</v>
      </c>
      <c r="K16" s="64"/>
      <c r="L16" s="65"/>
    </row>
    <row r="17" spans="1:13" ht="15" customHeight="1" x14ac:dyDescent="0.3">
      <c r="A17" s="6">
        <v>1</v>
      </c>
      <c r="B17" s="45">
        <v>9750</v>
      </c>
      <c r="C17" s="7">
        <v>350</v>
      </c>
      <c r="D17" s="6">
        <v>11</v>
      </c>
      <c r="E17" s="7">
        <f>(C17*D17)</f>
        <v>3850</v>
      </c>
      <c r="F17" s="7">
        <f>B17+E17</f>
        <v>13600</v>
      </c>
      <c r="G17" s="5"/>
      <c r="H17" s="8">
        <v>975</v>
      </c>
      <c r="I17" s="34">
        <v>1</v>
      </c>
      <c r="J17" s="36">
        <f>(H17*I17)</f>
        <v>975</v>
      </c>
      <c r="K17" s="64"/>
      <c r="L17" s="65"/>
    </row>
    <row r="18" spans="1:13" x14ac:dyDescent="0.3">
      <c r="A18" s="6">
        <v>2</v>
      </c>
      <c r="B18" s="6"/>
      <c r="C18" s="7"/>
      <c r="D18" s="6">
        <v>0</v>
      </c>
      <c r="E18" s="7">
        <f>(C18*D18)</f>
        <v>0</v>
      </c>
      <c r="F18" s="7">
        <f>B18+E18</f>
        <v>0</v>
      </c>
      <c r="G18" s="5"/>
    </row>
    <row r="19" spans="1:13" x14ac:dyDescent="0.3">
      <c r="A19" s="6">
        <v>3</v>
      </c>
      <c r="B19" s="6"/>
      <c r="C19" s="7"/>
      <c r="D19" s="6">
        <v>0</v>
      </c>
      <c r="E19" s="7">
        <f>(C19*D19)</f>
        <v>0</v>
      </c>
      <c r="F19" s="7">
        <f>B19+E19</f>
        <v>0</v>
      </c>
      <c r="G19" s="5"/>
      <c r="K19" s="44"/>
      <c r="L19" s="44"/>
    </row>
    <row r="20" spans="1:13" x14ac:dyDescent="0.3">
      <c r="A20" s="6">
        <v>4</v>
      </c>
      <c r="B20" s="6"/>
      <c r="C20" s="7"/>
      <c r="D20" s="6">
        <v>0</v>
      </c>
      <c r="E20" s="7">
        <f>(C20*D20)</f>
        <v>0</v>
      </c>
      <c r="F20" s="7">
        <f>B20+E20</f>
        <v>0</v>
      </c>
      <c r="G20" s="5"/>
      <c r="H20" s="24"/>
      <c r="I20" s="24"/>
      <c r="J20" s="24"/>
      <c r="K20" s="24"/>
      <c r="L20" s="24"/>
    </row>
    <row r="21" spans="1:13" ht="16.5" customHeight="1" x14ac:dyDescent="0.3">
      <c r="A21" s="16" t="s">
        <v>37</v>
      </c>
      <c r="B21" s="16" t="s">
        <v>12</v>
      </c>
      <c r="C21" s="16" t="s">
        <v>13</v>
      </c>
      <c r="D21" s="16" t="s">
        <v>12</v>
      </c>
      <c r="E21" s="18" t="s">
        <v>14</v>
      </c>
      <c r="F21" s="28">
        <f>SUM(F17:F20)</f>
        <v>13600</v>
      </c>
      <c r="G21" s="5"/>
      <c r="H21" s="24"/>
      <c r="I21" s="24"/>
      <c r="J21" s="24"/>
      <c r="K21" s="24"/>
      <c r="L21" s="24"/>
    </row>
    <row r="22" spans="1:13" ht="15" customHeight="1" x14ac:dyDescent="0.3">
      <c r="A22" s="6" t="s">
        <v>38</v>
      </c>
      <c r="B22" s="7">
        <v>1200</v>
      </c>
      <c r="C22" s="22" t="s">
        <v>28</v>
      </c>
      <c r="D22" s="7">
        <v>0</v>
      </c>
      <c r="E22" s="37" t="s">
        <v>13</v>
      </c>
      <c r="F22" s="15">
        <f>D23</f>
        <v>0</v>
      </c>
    </row>
    <row r="23" spans="1:13" x14ac:dyDescent="0.3">
      <c r="A23" s="6" t="s">
        <v>39</v>
      </c>
      <c r="B23" s="7">
        <v>728.75</v>
      </c>
      <c r="C23" s="23" t="s">
        <v>6</v>
      </c>
      <c r="D23" s="12">
        <f>SUM(D22)</f>
        <v>0</v>
      </c>
      <c r="E23" s="37" t="s">
        <v>21</v>
      </c>
      <c r="F23" s="15">
        <f>B29</f>
        <v>2698.94</v>
      </c>
      <c r="M23" s="3"/>
    </row>
    <row r="24" spans="1:13" x14ac:dyDescent="0.3">
      <c r="A24" s="6" t="s">
        <v>40</v>
      </c>
      <c r="B24" s="7">
        <v>200</v>
      </c>
      <c r="E24" s="19" t="s">
        <v>41</v>
      </c>
      <c r="F24" s="20">
        <f>(F21+F22)-(F23)</f>
        <v>10901.06</v>
      </c>
    </row>
    <row r="25" spans="1:13" x14ac:dyDescent="0.3">
      <c r="A25" s="6" t="s">
        <v>42</v>
      </c>
      <c r="B25" s="9">
        <v>570.19000000000005</v>
      </c>
      <c r="E25" s="48" t="s">
        <v>29</v>
      </c>
      <c r="F25" s="46">
        <v>18311.12</v>
      </c>
    </row>
    <row r="26" spans="1:13" x14ac:dyDescent="0.3">
      <c r="A26" s="6" t="s">
        <v>24</v>
      </c>
      <c r="B26" s="9">
        <v>0</v>
      </c>
      <c r="E26" s="48" t="s">
        <v>31</v>
      </c>
      <c r="F26" s="47">
        <f>F24-F25</f>
        <v>-7410.0599999999995</v>
      </c>
    </row>
    <row r="27" spans="1:13" x14ac:dyDescent="0.3">
      <c r="A27" s="6" t="s">
        <v>27</v>
      </c>
      <c r="B27" s="9">
        <v>0</v>
      </c>
    </row>
    <row r="28" spans="1:13" x14ac:dyDescent="0.3">
      <c r="A28" s="6" t="s">
        <v>30</v>
      </c>
      <c r="B28" s="9">
        <v>0</v>
      </c>
    </row>
    <row r="29" spans="1:13" x14ac:dyDescent="0.3">
      <c r="A29" s="18" t="s">
        <v>6</v>
      </c>
      <c r="B29" s="13">
        <f>SUM(B22:B28)</f>
        <v>2698.94</v>
      </c>
    </row>
    <row r="31" spans="1:13" x14ac:dyDescent="0.3">
      <c r="A31" s="60" t="s">
        <v>43</v>
      </c>
      <c r="B31" s="60"/>
      <c r="C31" s="60"/>
      <c r="D31" s="60"/>
      <c r="E31" s="60"/>
      <c r="F31" s="60"/>
    </row>
    <row r="32" spans="1:13" x14ac:dyDescent="0.3">
      <c r="A32" s="25" t="s">
        <v>44</v>
      </c>
      <c r="B32" s="26" t="s">
        <v>45</v>
      </c>
      <c r="C32" s="26" t="s">
        <v>46</v>
      </c>
      <c r="D32" s="26" t="s">
        <v>47</v>
      </c>
      <c r="E32" s="26" t="s">
        <v>48</v>
      </c>
      <c r="F32" s="27" t="s">
        <v>6</v>
      </c>
    </row>
    <row r="33" spans="1:6" x14ac:dyDescent="0.3">
      <c r="A33" s="49">
        <v>0.54166666666666663</v>
      </c>
      <c r="B33" s="50">
        <v>75</v>
      </c>
      <c r="C33" s="50">
        <v>0</v>
      </c>
      <c r="D33" s="50">
        <f t="shared" ref="D33:D46" si="0">B33*C33</f>
        <v>0</v>
      </c>
      <c r="E33" s="50">
        <v>200</v>
      </c>
      <c r="F33" s="53">
        <f t="shared" ref="F33:F46" si="1">SUM(D33:E33)</f>
        <v>200</v>
      </c>
    </row>
    <row r="34" spans="1:6" x14ac:dyDescent="0.3">
      <c r="A34" s="49">
        <v>0.58333333333333304</v>
      </c>
      <c r="B34" s="50">
        <v>75</v>
      </c>
      <c r="C34" s="50">
        <v>1</v>
      </c>
      <c r="D34" s="50">
        <f t="shared" si="0"/>
        <v>75</v>
      </c>
      <c r="E34" s="50">
        <v>200</v>
      </c>
      <c r="F34" s="53">
        <f t="shared" si="1"/>
        <v>275</v>
      </c>
    </row>
    <row r="35" spans="1:6" x14ac:dyDescent="0.3">
      <c r="A35" s="49">
        <v>0.625</v>
      </c>
      <c r="B35" s="50">
        <v>75</v>
      </c>
      <c r="C35" s="50">
        <v>2</v>
      </c>
      <c r="D35" s="50">
        <f t="shared" si="0"/>
        <v>150</v>
      </c>
      <c r="E35" s="50">
        <v>200</v>
      </c>
      <c r="F35" s="53">
        <f t="shared" si="1"/>
        <v>350</v>
      </c>
    </row>
    <row r="36" spans="1:6" x14ac:dyDescent="0.3">
      <c r="A36" s="49">
        <v>0.66666666666666696</v>
      </c>
      <c r="B36" s="50">
        <v>75</v>
      </c>
      <c r="C36" s="50">
        <v>3</v>
      </c>
      <c r="D36" s="50">
        <f t="shared" si="0"/>
        <v>225</v>
      </c>
      <c r="E36" s="50">
        <v>200</v>
      </c>
      <c r="F36" s="53">
        <f t="shared" si="1"/>
        <v>425</v>
      </c>
    </row>
    <row r="37" spans="1:6" x14ac:dyDescent="0.3">
      <c r="A37" s="49">
        <v>0.70833333333333304</v>
      </c>
      <c r="B37" s="50">
        <v>75</v>
      </c>
      <c r="C37" s="50">
        <v>4</v>
      </c>
      <c r="D37" s="50">
        <f t="shared" si="0"/>
        <v>300</v>
      </c>
      <c r="E37" s="50">
        <v>200</v>
      </c>
      <c r="F37" s="53">
        <f t="shared" si="1"/>
        <v>500</v>
      </c>
    </row>
    <row r="38" spans="1:6" x14ac:dyDescent="0.3">
      <c r="A38" s="49">
        <v>0.750000000000001</v>
      </c>
      <c r="B38" s="50">
        <v>75</v>
      </c>
      <c r="C38" s="50">
        <v>4</v>
      </c>
      <c r="D38" s="50">
        <f t="shared" si="0"/>
        <v>300</v>
      </c>
      <c r="E38" s="50">
        <v>200</v>
      </c>
      <c r="F38" s="53">
        <f t="shared" si="1"/>
        <v>500</v>
      </c>
    </row>
    <row r="39" spans="1:6" ht="15" customHeight="1" x14ac:dyDescent="0.3">
      <c r="A39" s="49">
        <v>0.79166666666666796</v>
      </c>
      <c r="B39" s="50">
        <v>75</v>
      </c>
      <c r="C39" s="50">
        <v>5</v>
      </c>
      <c r="D39" s="50">
        <f t="shared" si="0"/>
        <v>375</v>
      </c>
      <c r="E39" s="50">
        <v>200</v>
      </c>
      <c r="F39" s="53">
        <f t="shared" si="1"/>
        <v>575</v>
      </c>
    </row>
    <row r="40" spans="1:6" x14ac:dyDescent="0.3">
      <c r="A40" s="49">
        <v>0.83333333333333337</v>
      </c>
      <c r="B40" s="50">
        <v>75</v>
      </c>
      <c r="C40" s="50">
        <v>6</v>
      </c>
      <c r="D40" s="50">
        <f t="shared" si="0"/>
        <v>450</v>
      </c>
      <c r="E40" s="50">
        <v>200</v>
      </c>
      <c r="F40" s="53">
        <f t="shared" si="1"/>
        <v>650</v>
      </c>
    </row>
    <row r="41" spans="1:6" x14ac:dyDescent="0.3">
      <c r="A41" s="49">
        <v>0.875000000000002</v>
      </c>
      <c r="B41" s="50">
        <v>75</v>
      </c>
      <c r="C41" s="50">
        <v>7</v>
      </c>
      <c r="D41" s="50">
        <f t="shared" si="0"/>
        <v>525</v>
      </c>
      <c r="E41" s="50">
        <v>200</v>
      </c>
      <c r="F41" s="53">
        <f t="shared" si="1"/>
        <v>725</v>
      </c>
    </row>
    <row r="42" spans="1:6" x14ac:dyDescent="0.3">
      <c r="A42" s="49">
        <v>0.91666666666666796</v>
      </c>
      <c r="B42" s="50">
        <v>75</v>
      </c>
      <c r="C42" s="50">
        <v>7</v>
      </c>
      <c r="D42" s="50">
        <f t="shared" si="0"/>
        <v>525</v>
      </c>
      <c r="E42" s="50">
        <v>200</v>
      </c>
      <c r="F42" s="53">
        <f t="shared" si="1"/>
        <v>725</v>
      </c>
    </row>
    <row r="43" spans="1:6" x14ac:dyDescent="0.3">
      <c r="A43" s="49">
        <v>0.95833333333333504</v>
      </c>
      <c r="B43" s="50">
        <v>75</v>
      </c>
      <c r="C43" s="50">
        <v>6</v>
      </c>
      <c r="D43" s="50">
        <f t="shared" si="0"/>
        <v>450</v>
      </c>
      <c r="E43" s="50">
        <v>200</v>
      </c>
      <c r="F43" s="53">
        <f t="shared" si="1"/>
        <v>650</v>
      </c>
    </row>
    <row r="44" spans="1:6" x14ac:dyDescent="0.3">
      <c r="A44" s="49">
        <v>1</v>
      </c>
      <c r="B44" s="50">
        <v>75</v>
      </c>
      <c r="C44" s="50">
        <v>5</v>
      </c>
      <c r="D44" s="50">
        <f t="shared" si="0"/>
        <v>375</v>
      </c>
      <c r="E44" s="50">
        <v>200</v>
      </c>
      <c r="F44" s="53">
        <f t="shared" si="1"/>
        <v>575</v>
      </c>
    </row>
    <row r="45" spans="1:6" x14ac:dyDescent="0.3">
      <c r="A45" s="49">
        <v>1.0416666666666701</v>
      </c>
      <c r="B45" s="50">
        <v>75</v>
      </c>
      <c r="C45" s="50">
        <v>4</v>
      </c>
      <c r="D45" s="50">
        <f t="shared" si="0"/>
        <v>300</v>
      </c>
      <c r="E45" s="50">
        <v>200</v>
      </c>
      <c r="F45" s="53">
        <f t="shared" si="1"/>
        <v>500</v>
      </c>
    </row>
    <row r="46" spans="1:6" x14ac:dyDescent="0.3">
      <c r="A46" s="51">
        <v>1.0833333333333399</v>
      </c>
      <c r="B46" s="52">
        <v>75</v>
      </c>
      <c r="C46" s="52">
        <v>4</v>
      </c>
      <c r="D46" s="52">
        <f t="shared" si="0"/>
        <v>300</v>
      </c>
      <c r="E46" s="52">
        <v>200</v>
      </c>
      <c r="F46" s="54">
        <f t="shared" si="1"/>
        <v>500</v>
      </c>
    </row>
    <row r="50" spans="1:7" x14ac:dyDescent="0.3">
      <c r="A50" s="57"/>
      <c r="B50" s="58"/>
      <c r="C50" s="58"/>
      <c r="D50" s="58"/>
      <c r="E50" s="58"/>
      <c r="F50" s="59"/>
    </row>
    <row r="51" spans="1:7" x14ac:dyDescent="0.3">
      <c r="A51" s="57"/>
      <c r="B51" s="58"/>
      <c r="C51" s="58"/>
      <c r="D51" s="58"/>
      <c r="E51" s="58"/>
      <c r="F51" s="59"/>
    </row>
    <row r="52" spans="1:7" x14ac:dyDescent="0.3">
      <c r="A52" s="60" t="s">
        <v>49</v>
      </c>
      <c r="B52" s="60"/>
      <c r="C52" s="60"/>
      <c r="D52" s="60"/>
      <c r="E52" s="60"/>
      <c r="F52" s="60"/>
      <c r="G52" s="60"/>
    </row>
    <row r="53" spans="1:7" x14ac:dyDescent="0.3">
      <c r="A53" s="25" t="s">
        <v>44</v>
      </c>
      <c r="B53" s="26" t="s">
        <v>45</v>
      </c>
      <c r="C53" s="26" t="s">
        <v>46</v>
      </c>
      <c r="D53" s="26" t="s">
        <v>47</v>
      </c>
      <c r="E53" s="26" t="s">
        <v>48</v>
      </c>
      <c r="F53" s="26" t="s">
        <v>50</v>
      </c>
      <c r="G53" s="27" t="s">
        <v>6</v>
      </c>
    </row>
    <row r="54" spans="1:7" x14ac:dyDescent="0.3">
      <c r="A54" s="49">
        <v>0.54166666666666663</v>
      </c>
      <c r="B54" s="50">
        <v>75</v>
      </c>
      <c r="C54" s="50">
        <v>0</v>
      </c>
      <c r="D54" s="50">
        <f t="shared" ref="D54:D67" si="2">B54*C54</f>
        <v>0</v>
      </c>
      <c r="E54" s="50">
        <v>200</v>
      </c>
      <c r="F54" s="50">
        <v>0</v>
      </c>
      <c r="G54" s="53">
        <f t="shared" ref="G54:G67" si="3">SUM(D54:F54)</f>
        <v>200</v>
      </c>
    </row>
    <row r="55" spans="1:7" x14ac:dyDescent="0.3">
      <c r="A55" s="49">
        <v>0.58333333333333304</v>
      </c>
      <c r="B55" s="50">
        <v>75</v>
      </c>
      <c r="C55" s="50">
        <v>1</v>
      </c>
      <c r="D55" s="50">
        <f t="shared" si="2"/>
        <v>75</v>
      </c>
      <c r="E55" s="50">
        <v>200</v>
      </c>
      <c r="F55" s="50">
        <v>100</v>
      </c>
      <c r="G55" s="53">
        <f t="shared" si="3"/>
        <v>375</v>
      </c>
    </row>
    <row r="56" spans="1:7" x14ac:dyDescent="0.3">
      <c r="A56" s="49">
        <v>0.625</v>
      </c>
      <c r="B56" s="50">
        <v>75</v>
      </c>
      <c r="C56" s="50">
        <v>2</v>
      </c>
      <c r="D56" s="50">
        <f t="shared" si="2"/>
        <v>150</v>
      </c>
      <c r="E56" s="50">
        <v>200</v>
      </c>
      <c r="F56" s="50">
        <v>100</v>
      </c>
      <c r="G56" s="53">
        <f t="shared" si="3"/>
        <v>450</v>
      </c>
    </row>
    <row r="57" spans="1:7" x14ac:dyDescent="0.3">
      <c r="A57" s="49">
        <v>0.66666666666666696</v>
      </c>
      <c r="B57" s="50">
        <v>75</v>
      </c>
      <c r="C57" s="50">
        <v>3</v>
      </c>
      <c r="D57" s="50">
        <f t="shared" si="2"/>
        <v>225</v>
      </c>
      <c r="E57" s="50">
        <v>200</v>
      </c>
      <c r="F57" s="50">
        <v>100</v>
      </c>
      <c r="G57" s="53">
        <f t="shared" si="3"/>
        <v>525</v>
      </c>
    </row>
    <row r="58" spans="1:7" x14ac:dyDescent="0.3">
      <c r="A58" s="49">
        <v>0.70833333333333304</v>
      </c>
      <c r="B58" s="50">
        <v>75</v>
      </c>
      <c r="C58" s="50">
        <v>4</v>
      </c>
      <c r="D58" s="50">
        <f t="shared" si="2"/>
        <v>300</v>
      </c>
      <c r="E58" s="50">
        <v>200</v>
      </c>
      <c r="F58" s="50">
        <v>100</v>
      </c>
      <c r="G58" s="53">
        <f t="shared" si="3"/>
        <v>600</v>
      </c>
    </row>
    <row r="59" spans="1:7" x14ac:dyDescent="0.3">
      <c r="A59" s="49">
        <v>0.750000000000001</v>
      </c>
      <c r="B59" s="50">
        <v>75</v>
      </c>
      <c r="C59" s="50">
        <v>4</v>
      </c>
      <c r="D59" s="50">
        <f t="shared" si="2"/>
        <v>300</v>
      </c>
      <c r="E59" s="50">
        <v>200</v>
      </c>
      <c r="F59" s="50">
        <v>100</v>
      </c>
      <c r="G59" s="53">
        <f t="shared" si="3"/>
        <v>600</v>
      </c>
    </row>
    <row r="60" spans="1:7" x14ac:dyDescent="0.3">
      <c r="A60" s="49">
        <v>0.79166666666666796</v>
      </c>
      <c r="B60" s="50">
        <v>75</v>
      </c>
      <c r="C60" s="50">
        <v>5</v>
      </c>
      <c r="D60" s="50">
        <f t="shared" si="2"/>
        <v>375</v>
      </c>
      <c r="E60" s="50">
        <v>200</v>
      </c>
      <c r="F60" s="50">
        <v>100</v>
      </c>
      <c r="G60" s="53">
        <f t="shared" si="3"/>
        <v>675</v>
      </c>
    </row>
    <row r="61" spans="1:7" x14ac:dyDescent="0.3">
      <c r="A61" s="49">
        <v>0.83333333333333504</v>
      </c>
      <c r="B61" s="50">
        <v>75</v>
      </c>
      <c r="C61" s="50">
        <v>6</v>
      </c>
      <c r="D61" s="50">
        <f t="shared" si="2"/>
        <v>450</v>
      </c>
      <c r="E61" s="50">
        <v>200</v>
      </c>
      <c r="F61" s="50">
        <v>0</v>
      </c>
      <c r="G61" s="53">
        <f t="shared" si="3"/>
        <v>650</v>
      </c>
    </row>
    <row r="62" spans="1:7" x14ac:dyDescent="0.3">
      <c r="A62" s="49">
        <v>0.875000000000002</v>
      </c>
      <c r="B62" s="50">
        <v>75</v>
      </c>
      <c r="C62" s="50">
        <v>7</v>
      </c>
      <c r="D62" s="50">
        <f t="shared" si="2"/>
        <v>525</v>
      </c>
      <c r="E62" s="50">
        <v>200</v>
      </c>
      <c r="F62" s="50">
        <v>0</v>
      </c>
      <c r="G62" s="53">
        <f t="shared" si="3"/>
        <v>725</v>
      </c>
    </row>
    <row r="63" spans="1:7" x14ac:dyDescent="0.3">
      <c r="A63" s="49">
        <v>0.91666666666666796</v>
      </c>
      <c r="B63" s="50">
        <v>75</v>
      </c>
      <c r="C63" s="50">
        <v>7</v>
      </c>
      <c r="D63" s="50">
        <f t="shared" si="2"/>
        <v>525</v>
      </c>
      <c r="E63" s="50">
        <v>200</v>
      </c>
      <c r="F63" s="50">
        <v>0</v>
      </c>
      <c r="G63" s="53">
        <f t="shared" si="3"/>
        <v>725</v>
      </c>
    </row>
    <row r="64" spans="1:7" x14ac:dyDescent="0.3">
      <c r="A64" s="49">
        <v>0.95833333333333504</v>
      </c>
      <c r="B64" s="50">
        <v>75</v>
      </c>
      <c r="C64" s="50">
        <v>6</v>
      </c>
      <c r="D64" s="50">
        <f t="shared" si="2"/>
        <v>450</v>
      </c>
      <c r="E64" s="50">
        <v>200</v>
      </c>
      <c r="F64" s="50">
        <v>100</v>
      </c>
      <c r="G64" s="53">
        <f t="shared" si="3"/>
        <v>750</v>
      </c>
    </row>
    <row r="65" spans="1:7" x14ac:dyDescent="0.3">
      <c r="A65" s="49">
        <v>1</v>
      </c>
      <c r="B65" s="50">
        <v>75</v>
      </c>
      <c r="C65" s="50">
        <v>5</v>
      </c>
      <c r="D65" s="50">
        <f t="shared" si="2"/>
        <v>375</v>
      </c>
      <c r="E65" s="50">
        <v>200</v>
      </c>
      <c r="F65" s="50">
        <v>100</v>
      </c>
      <c r="G65" s="53">
        <f t="shared" si="3"/>
        <v>675</v>
      </c>
    </row>
    <row r="66" spans="1:7" x14ac:dyDescent="0.3">
      <c r="A66" s="49">
        <v>1.0416666666666701</v>
      </c>
      <c r="B66" s="50">
        <v>75</v>
      </c>
      <c r="C66" s="50">
        <v>4</v>
      </c>
      <c r="D66" s="50">
        <f t="shared" si="2"/>
        <v>300</v>
      </c>
      <c r="E66" s="50">
        <v>200</v>
      </c>
      <c r="F66" s="50">
        <v>100</v>
      </c>
      <c r="G66" s="53">
        <f t="shared" si="3"/>
        <v>600</v>
      </c>
    </row>
    <row r="67" spans="1:7" x14ac:dyDescent="0.3">
      <c r="A67" s="51">
        <v>1.0833333333333399</v>
      </c>
      <c r="B67" s="52">
        <v>75</v>
      </c>
      <c r="C67" s="52">
        <v>4</v>
      </c>
      <c r="D67" s="52">
        <f t="shared" si="2"/>
        <v>300</v>
      </c>
      <c r="E67" s="52">
        <v>200</v>
      </c>
      <c r="F67" s="52">
        <v>100</v>
      </c>
      <c r="G67" s="54">
        <f t="shared" si="3"/>
        <v>600</v>
      </c>
    </row>
  </sheetData>
  <mergeCells count="12">
    <mergeCell ref="A31:F31"/>
    <mergeCell ref="A52:G52"/>
    <mergeCell ref="H11:J11"/>
    <mergeCell ref="K11:L13"/>
    <mergeCell ref="A1:F1"/>
    <mergeCell ref="A15:F15"/>
    <mergeCell ref="K2:L5"/>
    <mergeCell ref="H2:J2"/>
    <mergeCell ref="K7:L9"/>
    <mergeCell ref="H7:J7"/>
    <mergeCell ref="H15:J15"/>
    <mergeCell ref="K15:L17"/>
  </mergeCells>
  <phoneticPr fontId="4" type="noConversion"/>
  <pageMargins left="0.7" right="0.7" top="0.75" bottom="0.75" header="0.3" footer="0.3"/>
  <pageSetup paperSize="9" orientation="portrait"/>
  <headerFooter>
    <oddFooter>&amp;L_x000D_&amp;1#&amp;"Aptos"&amp;10&amp;K000000 Internal distribution only</oddFooter>
  </headerFooter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DAFE-8E02-4BF7-887C-4142780EB5BE}">
  <dimension ref="A1:G40"/>
  <sheetViews>
    <sheetView workbookViewId="0">
      <selection activeCell="F46" sqref="F46"/>
    </sheetView>
  </sheetViews>
  <sheetFormatPr defaultRowHeight="14.4" x14ac:dyDescent="0.3"/>
  <cols>
    <col min="1" max="1" width="22.33203125" customWidth="1"/>
    <col min="2" max="2" width="22.88671875" customWidth="1"/>
    <col min="3" max="3" width="15.88671875" customWidth="1"/>
    <col min="4" max="4" width="19.33203125" customWidth="1"/>
    <col min="5" max="5" width="18" customWidth="1"/>
    <col min="6" max="6" width="19.5546875" customWidth="1"/>
    <col min="7" max="7" width="14.6640625" customWidth="1"/>
  </cols>
  <sheetData>
    <row r="1" spans="1:6" x14ac:dyDescent="0.3">
      <c r="A1" s="60" t="s">
        <v>43</v>
      </c>
      <c r="B1" s="60"/>
      <c r="C1" s="60"/>
      <c r="D1" s="60"/>
      <c r="E1" s="60"/>
      <c r="F1" s="60"/>
    </row>
    <row r="2" spans="1:6" x14ac:dyDescent="0.3">
      <c r="A2" s="25" t="s">
        <v>44</v>
      </c>
      <c r="B2" s="26" t="s">
        <v>45</v>
      </c>
      <c r="C2" s="26" t="s">
        <v>46</v>
      </c>
      <c r="D2" s="26" t="s">
        <v>47</v>
      </c>
      <c r="E2" s="26" t="s">
        <v>48</v>
      </c>
      <c r="F2" s="27" t="s">
        <v>6</v>
      </c>
    </row>
    <row r="3" spans="1:6" x14ac:dyDescent="0.3">
      <c r="A3" s="49">
        <v>0.54166666666666663</v>
      </c>
      <c r="B3" s="50">
        <v>75</v>
      </c>
      <c r="C3" s="50">
        <v>0</v>
      </c>
      <c r="D3" s="50">
        <f t="shared" ref="D3:D16" si="0">B3*C3</f>
        <v>0</v>
      </c>
      <c r="E3" s="50">
        <v>200</v>
      </c>
      <c r="F3" s="53">
        <f t="shared" ref="F3:F16" si="1">SUM(D3:E3)</f>
        <v>200</v>
      </c>
    </row>
    <row r="4" spans="1:6" x14ac:dyDescent="0.3">
      <c r="A4" s="49">
        <v>0.58333333333333304</v>
      </c>
      <c r="B4" s="50">
        <v>75</v>
      </c>
      <c r="C4" s="50">
        <v>1</v>
      </c>
      <c r="D4" s="50">
        <f t="shared" si="0"/>
        <v>75</v>
      </c>
      <c r="E4" s="50">
        <v>200</v>
      </c>
      <c r="F4" s="53">
        <f t="shared" si="1"/>
        <v>275</v>
      </c>
    </row>
    <row r="5" spans="1:6" x14ac:dyDescent="0.3">
      <c r="A5" s="49">
        <v>0.625</v>
      </c>
      <c r="B5" s="50">
        <v>75</v>
      </c>
      <c r="C5" s="50">
        <v>2</v>
      </c>
      <c r="D5" s="50">
        <f t="shared" si="0"/>
        <v>150</v>
      </c>
      <c r="E5" s="50">
        <v>200</v>
      </c>
      <c r="F5" s="53">
        <f t="shared" si="1"/>
        <v>350</v>
      </c>
    </row>
    <row r="6" spans="1:6" x14ac:dyDescent="0.3">
      <c r="A6" s="49">
        <v>0.66666666666666696</v>
      </c>
      <c r="B6" s="50">
        <v>75</v>
      </c>
      <c r="C6" s="50">
        <v>3</v>
      </c>
      <c r="D6" s="50">
        <f t="shared" si="0"/>
        <v>225</v>
      </c>
      <c r="E6" s="50">
        <v>200</v>
      </c>
      <c r="F6" s="53">
        <f t="shared" si="1"/>
        <v>425</v>
      </c>
    </row>
    <row r="7" spans="1:6" x14ac:dyDescent="0.3">
      <c r="A7" s="49">
        <v>0.70833333333333304</v>
      </c>
      <c r="B7" s="50">
        <v>75</v>
      </c>
      <c r="C7" s="50">
        <v>4</v>
      </c>
      <c r="D7" s="50">
        <f t="shared" si="0"/>
        <v>300</v>
      </c>
      <c r="E7" s="50">
        <v>200</v>
      </c>
      <c r="F7" s="53">
        <f t="shared" si="1"/>
        <v>500</v>
      </c>
    </row>
    <row r="8" spans="1:6" x14ac:dyDescent="0.3">
      <c r="A8" s="49">
        <v>0.750000000000001</v>
      </c>
      <c r="B8" s="50">
        <v>75</v>
      </c>
      <c r="C8" s="50">
        <v>4</v>
      </c>
      <c r="D8" s="50">
        <f t="shared" si="0"/>
        <v>300</v>
      </c>
      <c r="E8" s="50">
        <v>200</v>
      </c>
      <c r="F8" s="53">
        <f t="shared" si="1"/>
        <v>500</v>
      </c>
    </row>
    <row r="9" spans="1:6" x14ac:dyDescent="0.3">
      <c r="A9" s="49">
        <v>0.79166666666666796</v>
      </c>
      <c r="B9" s="50">
        <v>75</v>
      </c>
      <c r="C9" s="50">
        <v>5</v>
      </c>
      <c r="D9" s="50">
        <f t="shared" si="0"/>
        <v>375</v>
      </c>
      <c r="E9" s="50">
        <v>200</v>
      </c>
      <c r="F9" s="53">
        <f t="shared" si="1"/>
        <v>575</v>
      </c>
    </row>
    <row r="10" spans="1:6" x14ac:dyDescent="0.3">
      <c r="A10" s="49">
        <v>0.83333333333333337</v>
      </c>
      <c r="B10" s="50">
        <v>75</v>
      </c>
      <c r="C10" s="50">
        <v>6</v>
      </c>
      <c r="D10" s="50">
        <f t="shared" si="0"/>
        <v>450</v>
      </c>
      <c r="E10" s="50">
        <v>200</v>
      </c>
      <c r="F10" s="53">
        <f t="shared" si="1"/>
        <v>650</v>
      </c>
    </row>
    <row r="11" spans="1:6" x14ac:dyDescent="0.3">
      <c r="A11" s="49">
        <v>0.875000000000002</v>
      </c>
      <c r="B11" s="50">
        <v>75</v>
      </c>
      <c r="C11" s="50">
        <v>7</v>
      </c>
      <c r="D11" s="50">
        <f t="shared" si="0"/>
        <v>525</v>
      </c>
      <c r="E11" s="50">
        <v>200</v>
      </c>
      <c r="F11" s="53">
        <f t="shared" si="1"/>
        <v>725</v>
      </c>
    </row>
    <row r="12" spans="1:6" x14ac:dyDescent="0.3">
      <c r="A12" s="49">
        <v>0.91666666666666796</v>
      </c>
      <c r="B12" s="50">
        <v>75</v>
      </c>
      <c r="C12" s="50">
        <v>7</v>
      </c>
      <c r="D12" s="50">
        <f t="shared" si="0"/>
        <v>525</v>
      </c>
      <c r="E12" s="50">
        <v>200</v>
      </c>
      <c r="F12" s="53">
        <f t="shared" si="1"/>
        <v>725</v>
      </c>
    </row>
    <row r="13" spans="1:6" x14ac:dyDescent="0.3">
      <c r="A13" s="49">
        <v>0.95833333333333504</v>
      </c>
      <c r="B13" s="50">
        <v>75</v>
      </c>
      <c r="C13" s="50">
        <v>6</v>
      </c>
      <c r="D13" s="50">
        <f t="shared" si="0"/>
        <v>450</v>
      </c>
      <c r="E13" s="50">
        <v>200</v>
      </c>
      <c r="F13" s="53">
        <f t="shared" si="1"/>
        <v>650</v>
      </c>
    </row>
    <row r="14" spans="1:6" x14ac:dyDescent="0.3">
      <c r="A14" s="49">
        <v>1</v>
      </c>
      <c r="B14" s="50">
        <v>75</v>
      </c>
      <c r="C14" s="50">
        <v>5</v>
      </c>
      <c r="D14" s="50">
        <f t="shared" si="0"/>
        <v>375</v>
      </c>
      <c r="E14" s="50">
        <v>200</v>
      </c>
      <c r="F14" s="53">
        <f t="shared" si="1"/>
        <v>575</v>
      </c>
    </row>
    <row r="15" spans="1:6" x14ac:dyDescent="0.3">
      <c r="A15" s="49">
        <v>1.0416666666666701</v>
      </c>
      <c r="B15" s="50">
        <v>75</v>
      </c>
      <c r="C15" s="50">
        <v>4</v>
      </c>
      <c r="D15" s="50">
        <f t="shared" si="0"/>
        <v>300</v>
      </c>
      <c r="E15" s="50">
        <v>200</v>
      </c>
      <c r="F15" s="53">
        <f t="shared" si="1"/>
        <v>500</v>
      </c>
    </row>
    <row r="16" spans="1:6" x14ac:dyDescent="0.3">
      <c r="A16" s="51">
        <v>1.0833333333333399</v>
      </c>
      <c r="B16" s="52">
        <v>75</v>
      </c>
      <c r="C16" s="52">
        <v>4</v>
      </c>
      <c r="D16" s="52">
        <f t="shared" si="0"/>
        <v>300</v>
      </c>
      <c r="E16" s="52">
        <v>200</v>
      </c>
      <c r="F16" s="54">
        <f t="shared" si="1"/>
        <v>500</v>
      </c>
    </row>
    <row r="25" spans="1:7" x14ac:dyDescent="0.3">
      <c r="A25" s="60" t="s">
        <v>49</v>
      </c>
      <c r="B25" s="60"/>
      <c r="C25" s="60"/>
      <c r="D25" s="60"/>
      <c r="E25" s="60"/>
      <c r="F25" s="60"/>
      <c r="G25" s="60"/>
    </row>
    <row r="26" spans="1:7" x14ac:dyDescent="0.3">
      <c r="A26" s="25" t="s">
        <v>44</v>
      </c>
      <c r="B26" s="26" t="s">
        <v>45</v>
      </c>
      <c r="C26" s="26" t="s">
        <v>46</v>
      </c>
      <c r="D26" s="26" t="s">
        <v>47</v>
      </c>
      <c r="E26" s="26" t="s">
        <v>48</v>
      </c>
      <c r="F26" s="26" t="s">
        <v>50</v>
      </c>
      <c r="G26" s="27" t="s">
        <v>6</v>
      </c>
    </row>
    <row r="27" spans="1:7" x14ac:dyDescent="0.3">
      <c r="A27" s="49">
        <v>0.54166666666666663</v>
      </c>
      <c r="B27" s="50">
        <v>75</v>
      </c>
      <c r="C27" s="50">
        <v>0</v>
      </c>
      <c r="D27" s="50">
        <f t="shared" ref="D27:D40" si="2">B27*C27</f>
        <v>0</v>
      </c>
      <c r="E27" s="50">
        <v>200</v>
      </c>
      <c r="F27" s="50">
        <v>0</v>
      </c>
      <c r="G27" s="53">
        <f t="shared" ref="G27:G40" si="3">SUM(D27:F27)</f>
        <v>200</v>
      </c>
    </row>
    <row r="28" spans="1:7" x14ac:dyDescent="0.3">
      <c r="A28" s="49">
        <v>0.58333333333333304</v>
      </c>
      <c r="B28" s="50">
        <v>75</v>
      </c>
      <c r="C28" s="50">
        <v>1</v>
      </c>
      <c r="D28" s="50">
        <f t="shared" si="2"/>
        <v>75</v>
      </c>
      <c r="E28" s="50">
        <v>200</v>
      </c>
      <c r="F28" s="50">
        <v>100</v>
      </c>
      <c r="G28" s="53">
        <f t="shared" si="3"/>
        <v>375</v>
      </c>
    </row>
    <row r="29" spans="1:7" x14ac:dyDescent="0.3">
      <c r="A29" s="49">
        <v>0.625</v>
      </c>
      <c r="B29" s="50">
        <v>75</v>
      </c>
      <c r="C29" s="50">
        <v>2</v>
      </c>
      <c r="D29" s="50">
        <f t="shared" si="2"/>
        <v>150</v>
      </c>
      <c r="E29" s="50">
        <v>200</v>
      </c>
      <c r="F29" s="50">
        <v>100</v>
      </c>
      <c r="G29" s="53">
        <f t="shared" si="3"/>
        <v>450</v>
      </c>
    </row>
    <row r="30" spans="1:7" x14ac:dyDescent="0.3">
      <c r="A30" s="49">
        <v>0.66666666666666696</v>
      </c>
      <c r="B30" s="50">
        <v>75</v>
      </c>
      <c r="C30" s="50">
        <v>3</v>
      </c>
      <c r="D30" s="50">
        <f t="shared" si="2"/>
        <v>225</v>
      </c>
      <c r="E30" s="50">
        <v>200</v>
      </c>
      <c r="F30" s="50">
        <v>100</v>
      </c>
      <c r="G30" s="53">
        <f t="shared" si="3"/>
        <v>525</v>
      </c>
    </row>
    <row r="31" spans="1:7" x14ac:dyDescent="0.3">
      <c r="A31" s="49">
        <v>0.70833333333333304</v>
      </c>
      <c r="B31" s="50">
        <v>75</v>
      </c>
      <c r="C31" s="50">
        <v>4</v>
      </c>
      <c r="D31" s="50">
        <f t="shared" si="2"/>
        <v>300</v>
      </c>
      <c r="E31" s="50">
        <v>200</v>
      </c>
      <c r="F31" s="50">
        <v>100</v>
      </c>
      <c r="G31" s="53">
        <f t="shared" si="3"/>
        <v>600</v>
      </c>
    </row>
    <row r="32" spans="1:7" x14ac:dyDescent="0.3">
      <c r="A32" s="49">
        <v>0.750000000000001</v>
      </c>
      <c r="B32" s="50">
        <v>75</v>
      </c>
      <c r="C32" s="50">
        <v>4</v>
      </c>
      <c r="D32" s="50">
        <f t="shared" si="2"/>
        <v>300</v>
      </c>
      <c r="E32" s="50">
        <v>200</v>
      </c>
      <c r="F32" s="50">
        <v>100</v>
      </c>
      <c r="G32" s="53">
        <f t="shared" si="3"/>
        <v>600</v>
      </c>
    </row>
    <row r="33" spans="1:7" x14ac:dyDescent="0.3">
      <c r="A33" s="49">
        <v>0.79166666666666796</v>
      </c>
      <c r="B33" s="50">
        <v>75</v>
      </c>
      <c r="C33" s="50">
        <v>5</v>
      </c>
      <c r="D33" s="50">
        <f t="shared" si="2"/>
        <v>375</v>
      </c>
      <c r="E33" s="50">
        <v>200</v>
      </c>
      <c r="F33" s="50">
        <v>100</v>
      </c>
      <c r="G33" s="53">
        <f t="shared" si="3"/>
        <v>675</v>
      </c>
    </row>
    <row r="34" spans="1:7" x14ac:dyDescent="0.3">
      <c r="A34" s="49">
        <v>0.83333333333333504</v>
      </c>
      <c r="B34" s="50">
        <v>75</v>
      </c>
      <c r="C34" s="50">
        <v>6</v>
      </c>
      <c r="D34" s="50">
        <f t="shared" si="2"/>
        <v>450</v>
      </c>
      <c r="E34" s="50">
        <v>200</v>
      </c>
      <c r="F34" s="50">
        <v>0</v>
      </c>
      <c r="G34" s="53">
        <f t="shared" si="3"/>
        <v>650</v>
      </c>
    </row>
    <row r="35" spans="1:7" x14ac:dyDescent="0.3">
      <c r="A35" s="49">
        <v>0.875000000000002</v>
      </c>
      <c r="B35" s="50">
        <v>75</v>
      </c>
      <c r="C35" s="50">
        <v>7</v>
      </c>
      <c r="D35" s="50">
        <f t="shared" si="2"/>
        <v>525</v>
      </c>
      <c r="E35" s="50">
        <v>200</v>
      </c>
      <c r="F35" s="50">
        <v>0</v>
      </c>
      <c r="G35" s="53">
        <f t="shared" si="3"/>
        <v>725</v>
      </c>
    </row>
    <row r="36" spans="1:7" x14ac:dyDescent="0.3">
      <c r="A36" s="49">
        <v>0.91666666666666796</v>
      </c>
      <c r="B36" s="50">
        <v>75</v>
      </c>
      <c r="C36" s="50">
        <v>7</v>
      </c>
      <c r="D36" s="50">
        <f t="shared" si="2"/>
        <v>525</v>
      </c>
      <c r="E36" s="50">
        <v>200</v>
      </c>
      <c r="F36" s="50">
        <v>0</v>
      </c>
      <c r="G36" s="53">
        <f t="shared" si="3"/>
        <v>725</v>
      </c>
    </row>
    <row r="37" spans="1:7" x14ac:dyDescent="0.3">
      <c r="A37" s="49">
        <v>0.95833333333333504</v>
      </c>
      <c r="B37" s="50">
        <v>75</v>
      </c>
      <c r="C37" s="50">
        <v>6</v>
      </c>
      <c r="D37" s="50">
        <f t="shared" si="2"/>
        <v>450</v>
      </c>
      <c r="E37" s="50">
        <v>200</v>
      </c>
      <c r="F37" s="50">
        <v>100</v>
      </c>
      <c r="G37" s="53">
        <f t="shared" si="3"/>
        <v>750</v>
      </c>
    </row>
    <row r="38" spans="1:7" x14ac:dyDescent="0.3">
      <c r="A38" s="49">
        <v>1</v>
      </c>
      <c r="B38" s="50">
        <v>75</v>
      </c>
      <c r="C38" s="50">
        <v>5</v>
      </c>
      <c r="D38" s="50">
        <f t="shared" si="2"/>
        <v>375</v>
      </c>
      <c r="E38" s="50">
        <v>200</v>
      </c>
      <c r="F38" s="50">
        <v>100</v>
      </c>
      <c r="G38" s="53">
        <f t="shared" si="3"/>
        <v>675</v>
      </c>
    </row>
    <row r="39" spans="1:7" x14ac:dyDescent="0.3">
      <c r="A39" s="49">
        <v>1.0416666666666701</v>
      </c>
      <c r="B39" s="50">
        <v>75</v>
      </c>
      <c r="C39" s="50">
        <v>4</v>
      </c>
      <c r="D39" s="50">
        <f t="shared" si="2"/>
        <v>300</v>
      </c>
      <c r="E39" s="50">
        <v>200</v>
      </c>
      <c r="F39" s="50">
        <v>100</v>
      </c>
      <c r="G39" s="53">
        <f t="shared" si="3"/>
        <v>600</v>
      </c>
    </row>
    <row r="40" spans="1:7" x14ac:dyDescent="0.3">
      <c r="A40" s="51">
        <v>1.0833333333333399</v>
      </c>
      <c r="B40" s="52">
        <v>75</v>
      </c>
      <c r="C40" s="52">
        <v>4</v>
      </c>
      <c r="D40" s="52">
        <f t="shared" si="2"/>
        <v>300</v>
      </c>
      <c r="E40" s="52">
        <v>200</v>
      </c>
      <c r="F40" s="52">
        <v>100</v>
      </c>
      <c r="G40" s="54">
        <f t="shared" si="3"/>
        <v>600</v>
      </c>
    </row>
  </sheetData>
  <mergeCells count="2">
    <mergeCell ref="A1:F1"/>
    <mergeCell ref="A25:G25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75B2F3240534458E50BC4A673D0FCC" ma:contentTypeVersion="13" ma:contentTypeDescription="Een nieuw document maken." ma:contentTypeScope="" ma:versionID="6d6a813cbf6652c0ff9c57349f1c7c32">
  <xsd:schema xmlns:xsd="http://www.w3.org/2001/XMLSchema" xmlns:xs="http://www.w3.org/2001/XMLSchema" xmlns:p="http://schemas.microsoft.com/office/2006/metadata/properties" xmlns:ns3="367c4fc4-5ddd-42fd-89fe-069fca3a8756" xmlns:ns4="3f0d0939-62e4-4a46-8b1e-e99945b7f9df" targetNamespace="http://schemas.microsoft.com/office/2006/metadata/properties" ma:root="true" ma:fieldsID="55f697a6804ddadfb498ba33f3723151" ns3:_="" ns4:_="">
    <xsd:import namespace="367c4fc4-5ddd-42fd-89fe-069fca3a8756"/>
    <xsd:import namespace="3f0d0939-62e4-4a46-8b1e-e99945b7f9d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c4fc4-5ddd-42fd-89fe-069fca3a875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d0939-62e4-4a46-8b1e-e99945b7f9d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7c4fc4-5ddd-42fd-89fe-069fca3a8756" xsi:nil="true"/>
  </documentManagement>
</p:properties>
</file>

<file path=customXml/itemProps1.xml><?xml version="1.0" encoding="utf-8"?>
<ds:datastoreItem xmlns:ds="http://schemas.openxmlformats.org/officeDocument/2006/customXml" ds:itemID="{283458F2-909B-4498-B854-7ECC7093C7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7c4fc4-5ddd-42fd-89fe-069fca3a8756"/>
    <ds:schemaRef ds:uri="3f0d0939-62e4-4a46-8b1e-e99945b7f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86A934-6A4F-4E68-A222-4CA843C9D1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51BD5C-793F-45BE-B752-F914A1D67213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3f0d0939-62e4-4a46-8b1e-e99945b7f9df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367c4fc4-5ddd-42fd-89fe-069fca3a875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CALCULATOR</vt:lpstr>
      <vt:lpstr>NIGHT DIFF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Jeselle Audrey Agosto - Cygnific</dc:creator>
  <cp:keywords/>
  <dc:description/>
  <cp:lastModifiedBy>Pamela Marllane Ramos - Cygnific</cp:lastModifiedBy>
  <cp:revision/>
  <dcterms:created xsi:type="dcterms:W3CDTF">2024-07-16T10:33:25Z</dcterms:created>
  <dcterms:modified xsi:type="dcterms:W3CDTF">2026-04-07T05:53:16Z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0x0101006475B2F3240534458E50BC4A673D0FCC</vt:lpwstr>
  </property>
  <property fmtid="{D5CDD505-2E9C-101B-9397-08002B2CF9AE}" pid="3" name="MSIP_Label_a7babf33-601a-405d-b110-92291e91105a_Enabled">
    <vt:lpwstr>true</vt:lpwstr>
  </property>
  <property fmtid="{D5CDD505-2E9C-101B-9397-08002B2CF9AE}" pid="4" name="MSIP_Label_a7babf33-601a-405d-b110-92291e91105a_SetDate">
    <vt:lpwstr>2026-04-06T21:26:25Z</vt:lpwstr>
  </property>
  <property fmtid="{D5CDD505-2E9C-101B-9397-08002B2CF9AE}" pid="5" name="MSIP_Label_a7babf33-601a-405d-b110-92291e91105a_Method">
    <vt:lpwstr>Standard</vt:lpwstr>
  </property>
  <property fmtid="{D5CDD505-2E9C-101B-9397-08002B2CF9AE}" pid="6" name="MSIP_Label_a7babf33-601a-405d-b110-92291e91105a_Name">
    <vt:lpwstr>Internal</vt:lpwstr>
  </property>
  <property fmtid="{D5CDD505-2E9C-101B-9397-08002B2CF9AE}" pid="7" name="MSIP_Label_a7babf33-601a-405d-b110-92291e91105a_SiteId">
    <vt:lpwstr>efcee2d4-3368-4184-b922-c6a0d16d0986</vt:lpwstr>
  </property>
  <property fmtid="{D5CDD505-2E9C-101B-9397-08002B2CF9AE}" pid="8" name="MSIP_Label_a7babf33-601a-405d-b110-92291e91105a_ActionId">
    <vt:lpwstr>b25f61bb-d465-4341-bc62-5657ac909aab</vt:lpwstr>
  </property>
  <property fmtid="{D5CDD505-2E9C-101B-9397-08002B2CF9AE}" pid="9" name="MSIP_Label_a7babf33-601a-405d-b110-92291e91105a_ContentBits">
    <vt:lpwstr>2</vt:lpwstr>
  </property>
  <property fmtid="{D5CDD505-2E9C-101B-9397-08002B2CF9AE}" pid="10" name="MSIP_Label_a7babf33-601a-405d-b110-92291e91105a_Tag">
    <vt:lpwstr>10, 3, 0, 2</vt:lpwstr>
  </property>
</Properties>
</file>